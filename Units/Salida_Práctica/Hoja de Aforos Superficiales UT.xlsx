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939FB7E-7FB2-4C48-AE3A-E991020CD94B}" xr6:coauthVersionLast="47" xr6:coauthVersionMax="47" xr10:uidLastSave="{00000000-0000-0000-0000-000000000000}"/>
  <bookViews>
    <workbookView xWindow="-120" yWindow="-120" windowWidth="29040" windowHeight="15720" xr2:uid="{7773C706-C31D-4A6C-A9DA-98504F094BE4}"/>
  </bookViews>
  <sheets>
    <sheet name="Cálculo Aforo Caud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14" i="2"/>
  <c r="L14" i="2"/>
  <c r="E46" i="2" l="1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H14" i="2"/>
  <c r="H15" i="2"/>
  <c r="H16" i="2"/>
  <c r="H17" i="2"/>
  <c r="J17" i="2"/>
  <c r="H18" i="2"/>
  <c r="H19" i="2"/>
  <c r="H20" i="2"/>
  <c r="J20" i="2" s="1"/>
  <c r="H21" i="2"/>
  <c r="H22" i="2"/>
  <c r="H23" i="2"/>
  <c r="J23" i="2" s="1"/>
  <c r="H24" i="2"/>
  <c r="H25" i="2"/>
  <c r="H26" i="2"/>
  <c r="J26" i="2" s="1"/>
  <c r="H27" i="2"/>
  <c r="H28" i="2"/>
  <c r="H29" i="2"/>
  <c r="J29" i="2" s="1"/>
  <c r="H30" i="2"/>
  <c r="H31" i="2"/>
  <c r="H32" i="2"/>
  <c r="J32" i="2" s="1"/>
  <c r="H33" i="2"/>
  <c r="H34" i="2"/>
  <c r="H35" i="2"/>
  <c r="J35" i="2" s="1"/>
  <c r="H36" i="2"/>
  <c r="H37" i="2"/>
  <c r="H38" i="2"/>
  <c r="J38" i="2"/>
  <c r="H39" i="2"/>
  <c r="H40" i="2"/>
  <c r="H41" i="2"/>
  <c r="J41" i="2" s="1"/>
  <c r="H42" i="2"/>
  <c r="H43" i="2"/>
  <c r="H44" i="2"/>
  <c r="J44" i="2" s="1"/>
  <c r="H45" i="2"/>
  <c r="H46" i="2"/>
  <c r="L26" i="2"/>
  <c r="L29" i="2"/>
  <c r="L32" i="2"/>
  <c r="L35" i="2"/>
  <c r="L38" i="2"/>
  <c r="L41" i="2"/>
  <c r="L23" i="2"/>
  <c r="L20" i="2"/>
  <c r="L17" i="2"/>
  <c r="Q14" i="2" a="1"/>
  <c r="Q14" i="2" s="1"/>
  <c r="P14" i="2" a="1"/>
  <c r="P14" i="2" s="1"/>
  <c r="J14" i="2" l="1"/>
  <c r="R14" i="2" s="1" a="1"/>
  <c r="R14" i="2" s="1"/>
  <c r="K26" i="2"/>
  <c r="M26" i="2" s="1"/>
  <c r="K38" i="2"/>
  <c r="M38" i="2" s="1"/>
  <c r="K35" i="2"/>
  <c r="M35" i="2" s="1"/>
  <c r="K23" i="2"/>
  <c r="M23" i="2" s="1"/>
  <c r="K41" i="2"/>
  <c r="M41" i="2" s="1"/>
  <c r="K29" i="2"/>
  <c r="M29" i="2" s="1"/>
  <c r="K32" i="2"/>
  <c r="M32" i="2" s="1"/>
  <c r="K17" i="2"/>
  <c r="M17" i="2" s="1"/>
  <c r="K20" i="2"/>
  <c r="M20" i="2" s="1"/>
  <c r="K14" i="2" l="1"/>
  <c r="M14" i="2" s="1"/>
  <c r="M4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<sst xmlns="http://schemas.openxmlformats.org/spreadsheetml/2006/main" count="45" uniqueCount="43">
  <si>
    <r>
      <rPr>
        <sz val="20"/>
        <color theme="1"/>
        <rFont val="Aptos Narrow"/>
        <family val="2"/>
        <scheme val="minor"/>
      </rPr>
      <t>Universidad del Tolima</t>
    </r>
    <r>
      <rPr>
        <sz val="16"/>
        <color theme="1"/>
        <rFont val="Aptos Narrow"/>
        <family val="2"/>
        <scheme val="minor"/>
      </rPr>
      <t xml:space="preserve">
Muestreo Aforo de Caudal</t>
    </r>
  </si>
  <si>
    <t>CARACTERÍSTICAS DEL SITIO</t>
  </si>
  <si>
    <t>Estación (Cod.):</t>
  </si>
  <si>
    <t>Ambala-01</t>
  </si>
  <si>
    <t>Municipio/Depto:</t>
  </si>
  <si>
    <t>Ibagué - Tolima</t>
  </si>
  <si>
    <t>Fecha:</t>
  </si>
  <si>
    <t>Hora:</t>
  </si>
  <si>
    <t>14:53 p.m.</t>
  </si>
  <si>
    <t>Nombre de Fuente Hidrica:</t>
  </si>
  <si>
    <t>Quebrada Ambalá</t>
  </si>
  <si>
    <t>Latitud:</t>
  </si>
  <si>
    <t>4° 27' 01.97 N</t>
  </si>
  <si>
    <t>Descripción:</t>
  </si>
  <si>
    <t>Canal Ornamental - Universidad de Ibagué</t>
  </si>
  <si>
    <t>Longitud:</t>
  </si>
  <si>
    <t>75° 11' 56.61'' W</t>
  </si>
  <si>
    <t>MATERIALES Y MÉTODOS</t>
  </si>
  <si>
    <t>Equipo Utilizado:</t>
  </si>
  <si>
    <t>Flujómetro</t>
  </si>
  <si>
    <t>Molinete</t>
  </si>
  <si>
    <t>Micromolinete</t>
  </si>
  <si>
    <t>X</t>
  </si>
  <si>
    <t>Método:</t>
  </si>
  <si>
    <t>Vadeo</t>
  </si>
  <si>
    <t>Verticales:</t>
  </si>
  <si>
    <t>DATOS</t>
  </si>
  <si>
    <t>Abscisa (m)</t>
  </si>
  <si>
    <t>Profundidad (m)</t>
  </si>
  <si>
    <t>Prof. Velocidad (m)</t>
  </si>
  <si>
    <t>Número Revoluciones</t>
  </si>
  <si>
    <t>Tiempo (s)</t>
  </si>
  <si>
    <t>Rev/s</t>
  </si>
  <si>
    <t>Velocidad Puntual (m/s)</t>
  </si>
  <si>
    <t>Velocidad Media (m/s)</t>
  </si>
  <si>
    <t>Velocidad Sección (m/s)</t>
  </si>
  <si>
    <t>Área Sección (m2)</t>
  </si>
  <si>
    <t>Caudal Sección (m3/s)</t>
  </si>
  <si>
    <t>Datos Gráficas</t>
  </si>
  <si>
    <t>-</t>
  </si>
  <si>
    <t>Caudal Total (m3/s)</t>
  </si>
  <si>
    <t>Datos de entrada</t>
  </si>
  <si>
    <t>Datos Calculados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</si>
</sst>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 applyAlignment="1">
      <alignment vertical="center"/>
    </xf>
    <xf numFmtId="0" fontId="2" fillId="2" borderId="8" xfId="0" applyFont="1" applyFill="1" applyBorder="1" applyAlignment="1">
      <alignment horizontal="center" wrapText="1"/>
    </xf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2" borderId="8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0" fillId="2" borderId="8" xfId="0" applyFill="1" applyBorder="1" applyAlignment="1">
      <alignment horizontal="center" wrapText="1"/>
    </xf>
    <xf numFmtId="0" fontId="0" fillId="2" borderId="4" xfId="0" applyFill="1" applyBorder="1" applyAlignment="1">
      <alignment horizontal="left" vertical="center"/>
    </xf>
    <xf numFmtId="0" fontId="1" fillId="0" borderId="2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6" xfId="0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horizontal="center" vertical="center"/>
    </xf>
    <xf numFmtId="0" fontId="0" fillId="2" borderId="8" xfId="0" applyFill="1" applyBorder="1"/>
    <xf numFmtId="0" fontId="0" fillId="4" borderId="10" xfId="0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40" xfId="0" applyFill="1" applyBorder="1"/>
    <xf numFmtId="0" fontId="0" fillId="5" borderId="1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2" fontId="0" fillId="4" borderId="48" xfId="0" applyNumberFormat="1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2" fontId="0" fillId="4" borderId="50" xfId="0" applyNumberFormat="1" applyFill="1" applyBorder="1" applyAlignment="1">
      <alignment horizontal="center" vertical="center"/>
    </xf>
    <xf numFmtId="0" fontId="0" fillId="5" borderId="46" xfId="0" applyFill="1" applyBorder="1"/>
    <xf numFmtId="0" fontId="0" fillId="4" borderId="46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  <xf numFmtId="164" fontId="0" fillId="4" borderId="25" xfId="0" applyNumberFormat="1" applyFill="1" applyBorder="1" applyAlignment="1">
      <alignment horizontal="center" vertical="center"/>
    </xf>
    <xf numFmtId="164" fontId="0" fillId="4" borderId="31" xfId="0" applyNumberFormat="1" applyFill="1" applyBorder="1" applyAlignment="1">
      <alignment horizontal="center" vertical="center"/>
    </xf>
    <xf numFmtId="164" fontId="0" fillId="4" borderId="32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164" fontId="5" fillId="3" borderId="30" xfId="0" applyNumberFormat="1" applyFont="1" applyFill="1" applyBorder="1" applyAlignment="1">
      <alignment horizontal="center" vertical="center"/>
    </xf>
    <xf numFmtId="164" fontId="5" fillId="3" borderId="3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164" fontId="0" fillId="4" borderId="34" xfId="0" applyNumberFormat="1" applyFill="1" applyBorder="1" applyAlignment="1">
      <alignment horizontal="center" vertical="center"/>
    </xf>
    <xf numFmtId="164" fontId="0" fillId="4" borderId="36" xfId="0" applyNumberForma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pattFill prst="openDmnd">
              <a:fgClr>
                <a:schemeClr val="accent1"/>
              </a:fgClr>
              <a:bgClr>
                <a:schemeClr val="bg1"/>
              </a:bgClr>
            </a:pattFill>
            <a:ln w="25400">
              <a:solidFill>
                <a:schemeClr val="accent1"/>
              </a:solidFill>
            </a:ln>
            <a:effectLst/>
          </c:spPr>
          <c:cat>
            <c:numRef>
              <c:f>'Cálculo Aforo Caudal'!$P$14:$P$24</c:f>
              <c:numCache>
                <c:formatCode>General</c:formatCode>
                <c:ptCount val="11"/>
                <c:pt idx="0">
                  <c:v>0</c:v>
                </c:pt>
                <c:pt idx="1">
                  <c:v>6.5000000000000002E-2</c:v>
                </c:pt>
                <c:pt idx="2">
                  <c:v>0.13</c:v>
                </c:pt>
                <c:pt idx="3">
                  <c:v>0.19500000000000001</c:v>
                </c:pt>
                <c:pt idx="4">
                  <c:v>0.26</c:v>
                </c:pt>
                <c:pt idx="5">
                  <c:v>0.32500000000000001</c:v>
                </c:pt>
                <c:pt idx="6">
                  <c:v>0.39</c:v>
                </c:pt>
                <c:pt idx="7">
                  <c:v>0.45500000000000002</c:v>
                </c:pt>
                <c:pt idx="8">
                  <c:v>0.52</c:v>
                </c:pt>
                <c:pt idx="9">
                  <c:v>0.58499999999999996</c:v>
                </c:pt>
                <c:pt idx="10">
                  <c:v>0.65</c:v>
                </c:pt>
              </c:numCache>
            </c:numRef>
          </c:cat>
          <c:val>
            <c:numRef>
              <c:f>'Cálculo Aforo Caudal'!$Q$14:$Q$24</c:f>
              <c:numCache>
                <c:formatCode>General</c:formatCode>
                <c:ptCount val="11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0.16</c:v>
                </c:pt>
                <c:pt idx="9">
                  <c:v>0.16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Sección Aforo</c:v>
                </c15:tx>
              </c15:filteredSeriesTitle>
            </c:ext>
            <c:ext xmlns:c16="http://schemas.microsoft.com/office/drawing/2014/chart" uri="{C3380CC4-5D6E-409C-BE32-E72D297353CC}">
              <c16:uniqueId val="{00000000-D293-4337-A01A-3443500E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422543"/>
        <c:axId val="1404423023"/>
      </c:area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EE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'Cálculo Aforo Caudal'!$P$14:$P$24</c:f>
              <c:numCache>
                <c:formatCode>General</c:formatCode>
                <c:ptCount val="11"/>
                <c:pt idx="0">
                  <c:v>0</c:v>
                </c:pt>
                <c:pt idx="1">
                  <c:v>6.5000000000000002E-2</c:v>
                </c:pt>
                <c:pt idx="2">
                  <c:v>0.13</c:v>
                </c:pt>
                <c:pt idx="3">
                  <c:v>0.19500000000000001</c:v>
                </c:pt>
                <c:pt idx="4">
                  <c:v>0.26</c:v>
                </c:pt>
                <c:pt idx="5">
                  <c:v>0.32500000000000001</c:v>
                </c:pt>
                <c:pt idx="6">
                  <c:v>0.39</c:v>
                </c:pt>
                <c:pt idx="7">
                  <c:v>0.45500000000000002</c:v>
                </c:pt>
                <c:pt idx="8">
                  <c:v>0.52</c:v>
                </c:pt>
                <c:pt idx="9">
                  <c:v>0.58499999999999996</c:v>
                </c:pt>
                <c:pt idx="10">
                  <c:v>0.65</c:v>
                </c:pt>
              </c:numCache>
            </c:numRef>
          </c:cat>
          <c:val>
            <c:numRef>
              <c:f>'Cálculo Aforo Caudal'!$R$14:$R$24</c:f>
              <c:numCache>
                <c:formatCode>0.00</c:formatCode>
                <c:ptCount val="11"/>
                <c:pt idx="0">
                  <c:v>3.2000000000000001E-2</c:v>
                </c:pt>
                <c:pt idx="1">
                  <c:v>0.19699999999999998</c:v>
                </c:pt>
                <c:pt idx="2">
                  <c:v>0.29542574257425747</c:v>
                </c:pt>
                <c:pt idx="3">
                  <c:v>0.36331999999999998</c:v>
                </c:pt>
                <c:pt idx="4">
                  <c:v>0.41200000000000003</c:v>
                </c:pt>
                <c:pt idx="5">
                  <c:v>0.48090384615384618</c:v>
                </c:pt>
                <c:pt idx="6">
                  <c:v>0.47287824351297403</c:v>
                </c:pt>
                <c:pt idx="7">
                  <c:v>0.40053174603174602</c:v>
                </c:pt>
                <c:pt idx="8">
                  <c:v>0.27798</c:v>
                </c:pt>
                <c:pt idx="9">
                  <c:v>0.25973175542406313</c:v>
                </c:pt>
                <c:pt idx="10">
                  <c:v>3.2000000000000001E-2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Velocidad Sección</c:v>
                </c15:tx>
              </c15:filteredSeriesTitle>
            </c:ext>
            <c:ext xmlns:c16="http://schemas.microsoft.com/office/drawing/2014/chart" uri="{C3380CC4-5D6E-409C-BE32-E72D297353CC}">
              <c16:uniqueId val="{00000001-D293-4337-A01A-3443500E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401423"/>
        <c:axId val="1404400943"/>
      </c:lineChart>
      <c:catAx>
        <c:axId val="14044225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Abscisa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423023"/>
        <c:crosses val="autoZero"/>
        <c:auto val="1"/>
        <c:lblAlgn val="ctr"/>
        <c:lblOffset val="100"/>
        <c:tickMarkSkip val="1"/>
        <c:noMultiLvlLbl val="0"/>
      </c:catAx>
      <c:valAx>
        <c:axId val="140442302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Profundidad</a:t>
                </a:r>
                <a:r>
                  <a:rPr lang="es-CO" sz="1400" b="1" baseline="0"/>
                  <a:t> (m)</a:t>
                </a:r>
                <a:endParaRPr lang="es-CO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422543"/>
        <c:crosses val="autoZero"/>
        <c:crossBetween val="between"/>
      </c:valAx>
      <c:valAx>
        <c:axId val="1404400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Velocidad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401423"/>
        <c:crosses val="max"/>
        <c:crossBetween val="between"/>
      </c:valAx>
      <c:catAx>
        <c:axId val="1404401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4400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110826158572873"/>
          <c:y val="0.70192251341716616"/>
          <c:w val="0.27121260845428813"/>
          <c:h val="8.1606142515767616E-2"/>
        </c:manualLayout>
      </c:layout>
      <c:overlay val="1"/>
      <c:spPr>
        <a:solidFill>
          <a:schemeClr val="bg1"/>
        </a:solidFill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547687</xdr:colOff>
      <xdr:row>2</xdr:row>
      <xdr:rowOff>74582</xdr:rowOff>
    </xdr:from>
    <xdr:to>
      <xdr:col>3</xdr:col>
      <xdr:colOff>702469</xdr:colOff>
      <xdr:row>4</xdr:row>
      <xdr:rowOff>157748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75E633-FF5A-4331-9C1B-C3EBA823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479395"/>
          <a:ext cx="1512094" cy="607041"/>
        </a:xfrm>
        <a:prstGeom prst="rect">
          <a:avLst/>
        </a:prstGeom>
      </xdr:spPr>
    </xdr:pic>
    <xdr:clientData/>
  </xdr:twoCellAnchor>
  <xdr:twoCellAnchor editAs="oneCell">
    <xdr:from>
      <xdr:col>11</xdr:col>
      <xdr:colOff>548215</xdr:colOff>
      <xdr:row>2</xdr:row>
      <xdr:rowOff>47624</xdr:rowOff>
    </xdr:from>
    <xdr:to>
      <xdr:col>12</xdr:col>
      <xdr:colOff>416717</xdr:colOff>
      <xdr:row>4</xdr:row>
      <xdr:rowOff>227040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233386-FF7C-4C2E-A9F9-4B8443CF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5290" y="447674"/>
          <a:ext cx="782902" cy="712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130969</xdr:colOff>
      <xdr:row>49</xdr:row>
      <xdr:rowOff>130969</xdr:rowOff>
    </xdr:from>
    <xdr:to>
      <xdr:col>12</xdr:col>
      <xdr:colOff>666751</xdr:colOff>
      <xdr:row>66</xdr:row>
      <xdr:rowOff>83344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109F40-F52C-40AD-BAB0-4DD9CDA7A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C202-00FB-4AA0-9826-4371D7C1B5DE}">
  <dimension ref="B1:R68"/>
  <sheetViews>
    <sheetView tabSelected="1" zoomScale="80" zoomScaleNormal="80" workbookViewId="0"/>
  </sheetViews>
  <sheetFormatPr baseColWidth="10" defaultRowHeight="15" x14ac:dyDescent="0.25"/>
  <cols>
    <col min="2" max="2" width="2.5703125" customWidth="1"/>
    <col min="3" max="3" width="20.28515625" customWidth="1"/>
    <col min="4" max="4" width="17.85546875" customWidth="1"/>
    <col min="5" max="5" width="20.7109375" customWidth="1"/>
    <col min="6" max="6" width="17.140625" customWidth="1"/>
    <col min="7" max="7" width="13.42578125" customWidth="1"/>
    <col min="8" max="8" width="19.5703125" customWidth="1"/>
    <col min="9" max="9" width="14.42578125" customWidth="1"/>
    <col min="10" max="10" width="12.5703125" customWidth="1"/>
    <col min="11" max="11" width="13.28515625" customWidth="1"/>
    <col min="12" max="12" width="13.7109375" customWidth="1"/>
    <col min="13" max="13" width="12" bestFit="1" customWidth="1"/>
    <col min="14" max="14" width="2.28515625" customWidth="1"/>
    <col min="15" max="15" width="11.42578125" customWidth="1"/>
  </cols>
  <sheetData>
    <row r="1" spans="2:18" ht="15.75" thickBot="1" x14ac:dyDescent="0.3"/>
    <row r="2" spans="2:18" ht="15.75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8" ht="21" customHeight="1" x14ac:dyDescent="0.35">
      <c r="B3" s="4"/>
      <c r="C3" s="57"/>
      <c r="D3" s="58"/>
      <c r="E3" s="61" t="s">
        <v>0</v>
      </c>
      <c r="F3" s="62"/>
      <c r="G3" s="62"/>
      <c r="H3" s="62"/>
      <c r="I3" s="62"/>
      <c r="J3" s="62"/>
      <c r="K3" s="63"/>
      <c r="L3" s="61"/>
      <c r="M3" s="70"/>
      <c r="N3" s="5"/>
    </row>
    <row r="4" spans="2:18" ht="21" x14ac:dyDescent="0.35">
      <c r="B4" s="4"/>
      <c r="C4" s="59"/>
      <c r="D4" s="60"/>
      <c r="E4" s="64"/>
      <c r="F4" s="65"/>
      <c r="G4" s="65"/>
      <c r="H4" s="65"/>
      <c r="I4" s="65"/>
      <c r="J4" s="65"/>
      <c r="K4" s="66"/>
      <c r="L4" s="64"/>
      <c r="M4" s="71"/>
      <c r="N4" s="5"/>
    </row>
    <row r="5" spans="2:18" ht="21.75" thickBot="1" x14ac:dyDescent="0.4">
      <c r="B5" s="4"/>
      <c r="C5" s="59"/>
      <c r="D5" s="60"/>
      <c r="E5" s="67"/>
      <c r="F5" s="68"/>
      <c r="G5" s="68"/>
      <c r="H5" s="68"/>
      <c r="I5" s="68"/>
      <c r="J5" s="68"/>
      <c r="K5" s="69"/>
      <c r="L5" s="64"/>
      <c r="M5" s="71"/>
      <c r="N5" s="5"/>
    </row>
    <row r="6" spans="2:18" ht="21.75" thickBot="1" x14ac:dyDescent="0.4">
      <c r="B6" s="4"/>
      <c r="C6" s="54" t="s">
        <v>1</v>
      </c>
      <c r="D6" s="55"/>
      <c r="E6" s="55"/>
      <c r="F6" s="55"/>
      <c r="G6" s="55"/>
      <c r="H6" s="55"/>
      <c r="I6" s="55"/>
      <c r="J6" s="55"/>
      <c r="K6" s="55"/>
      <c r="L6" s="55"/>
      <c r="M6" s="56"/>
      <c r="N6" s="5"/>
    </row>
    <row r="7" spans="2:18" x14ac:dyDescent="0.25">
      <c r="B7" s="4"/>
      <c r="C7" s="6" t="s">
        <v>2</v>
      </c>
      <c r="D7" s="7" t="s">
        <v>3</v>
      </c>
      <c r="E7" s="8" t="s">
        <v>4</v>
      </c>
      <c r="F7" s="72" t="s">
        <v>5</v>
      </c>
      <c r="G7" s="72"/>
      <c r="H7" s="72"/>
      <c r="I7" s="9" t="s">
        <v>6</v>
      </c>
      <c r="J7" s="73">
        <v>44718</v>
      </c>
      <c r="K7" s="74"/>
      <c r="L7" s="9" t="s">
        <v>7</v>
      </c>
      <c r="M7" s="10" t="s">
        <v>8</v>
      </c>
      <c r="N7" s="11"/>
    </row>
    <row r="8" spans="2:18" x14ac:dyDescent="0.25">
      <c r="B8" s="4"/>
      <c r="C8" s="75" t="s">
        <v>9</v>
      </c>
      <c r="D8" s="76"/>
      <c r="E8" s="77" t="s">
        <v>10</v>
      </c>
      <c r="F8" s="77"/>
      <c r="G8" s="77"/>
      <c r="H8" s="77"/>
      <c r="I8" s="77"/>
      <c r="J8" s="77"/>
      <c r="K8" s="12" t="s">
        <v>11</v>
      </c>
      <c r="L8" s="52" t="s">
        <v>12</v>
      </c>
      <c r="M8" s="53"/>
      <c r="N8" s="13"/>
    </row>
    <row r="9" spans="2:18" ht="15.75" customHeight="1" thickBot="1" x14ac:dyDescent="0.3">
      <c r="B9" s="14"/>
      <c r="C9" s="15" t="s">
        <v>13</v>
      </c>
      <c r="D9" s="78" t="s">
        <v>14</v>
      </c>
      <c r="E9" s="78"/>
      <c r="F9" s="78"/>
      <c r="G9" s="78"/>
      <c r="H9" s="78"/>
      <c r="I9" s="78"/>
      <c r="J9" s="78"/>
      <c r="K9" s="16" t="s">
        <v>15</v>
      </c>
      <c r="L9" s="50" t="s">
        <v>16</v>
      </c>
      <c r="M9" s="51"/>
      <c r="N9" s="13"/>
    </row>
    <row r="10" spans="2:18" ht="15.75" thickBot="1" x14ac:dyDescent="0.3">
      <c r="B10" s="14"/>
      <c r="C10" s="54" t="s">
        <v>17</v>
      </c>
      <c r="D10" s="55"/>
      <c r="E10" s="55"/>
      <c r="F10" s="55"/>
      <c r="G10" s="55"/>
      <c r="H10" s="55"/>
      <c r="I10" s="55"/>
      <c r="J10" s="55"/>
      <c r="K10" s="55"/>
      <c r="L10" s="55"/>
      <c r="M10" s="56"/>
      <c r="N10" s="13"/>
    </row>
    <row r="11" spans="2:18" ht="15.75" thickBot="1" x14ac:dyDescent="0.3">
      <c r="B11" s="4"/>
      <c r="C11" s="17" t="s">
        <v>18</v>
      </c>
      <c r="D11" s="18" t="s">
        <v>19</v>
      </c>
      <c r="E11" s="19"/>
      <c r="F11" s="18" t="s">
        <v>20</v>
      </c>
      <c r="G11" s="107"/>
      <c r="H11" s="18" t="s">
        <v>21</v>
      </c>
      <c r="I11" s="20" t="s">
        <v>22</v>
      </c>
      <c r="J11" s="21" t="s">
        <v>23</v>
      </c>
      <c r="K11" s="20" t="s">
        <v>24</v>
      </c>
      <c r="L11" s="21" t="s">
        <v>25</v>
      </c>
      <c r="M11" s="10">
        <v>1</v>
      </c>
      <c r="N11" s="22"/>
    </row>
    <row r="12" spans="2:18" ht="15.75" thickBot="1" x14ac:dyDescent="0.3">
      <c r="B12" s="4"/>
      <c r="C12" s="54" t="s">
        <v>26</v>
      </c>
      <c r="D12" s="55"/>
      <c r="E12" s="55"/>
      <c r="F12" s="55"/>
      <c r="G12" s="55"/>
      <c r="H12" s="55"/>
      <c r="I12" s="55"/>
      <c r="J12" s="55"/>
      <c r="K12" s="55"/>
      <c r="L12" s="55"/>
      <c r="M12" s="56"/>
      <c r="N12" s="22"/>
    </row>
    <row r="13" spans="2:18" ht="45.75" thickBot="1" x14ac:dyDescent="0.3">
      <c r="B13" s="4"/>
      <c r="C13" s="23" t="s">
        <v>27</v>
      </c>
      <c r="D13" s="24" t="s">
        <v>28</v>
      </c>
      <c r="E13" s="24" t="s">
        <v>29</v>
      </c>
      <c r="F13" s="24" t="s">
        <v>30</v>
      </c>
      <c r="G13" s="24" t="s">
        <v>31</v>
      </c>
      <c r="H13" s="25" t="s">
        <v>32</v>
      </c>
      <c r="I13" s="24" t="s">
        <v>33</v>
      </c>
      <c r="J13" s="24" t="s">
        <v>34</v>
      </c>
      <c r="K13" s="24" t="s">
        <v>35</v>
      </c>
      <c r="L13" s="24" t="s">
        <v>36</v>
      </c>
      <c r="M13" s="26" t="s">
        <v>37</v>
      </c>
      <c r="N13" s="27"/>
      <c r="P13" s="79" t="s">
        <v>38</v>
      </c>
      <c r="Q13" s="80"/>
      <c r="R13" s="81"/>
    </row>
    <row r="14" spans="2:18" x14ac:dyDescent="0.25">
      <c r="B14" s="4"/>
      <c r="C14" s="82">
        <v>0</v>
      </c>
      <c r="D14" s="85">
        <v>0</v>
      </c>
      <c r="E14" s="38">
        <f>IF(ISNUMBER(D14),IF($M$11=1,D14*0.4,IF($M$11=2,D14*0.8,IF($M$11=3,D14*0.8))),"")</f>
        <v>0</v>
      </c>
      <c r="F14" s="38">
        <v>0</v>
      </c>
      <c r="G14" s="38">
        <v>0</v>
      </c>
      <c r="H14" s="28">
        <f>IF(AND(ISNUMBER(F14),ISNUMBER(G14)),IFERROR(F14/G14,0),"")</f>
        <v>0</v>
      </c>
      <c r="I14" s="28">
        <f>IF(ISNUMBER(H14),IF($G$11="X",0.262*H14-0.001,IF($I$11="X",0.251*H14+0.032,"")),"")</f>
        <v>3.2000000000000001E-2</v>
      </c>
      <c r="J14" s="88">
        <f>IF($M$11=1,IF(ISNUMBER(I14),I14,0),IF($M$11=2,IF(AND(ISNUMBER(I14),ISNUMBER(I15)),(I14+I15)/2,0),IF($M$11=3,IF(AND(ISNUMBER(I14),ISNUMBER(I15),ISNUMBER(I16)),(I14+(I15*2)+I16)/4,0))))</f>
        <v>3.2000000000000001E-2</v>
      </c>
      <c r="K14" s="88">
        <f>AVERAGE(J14:J19)</f>
        <v>0.11449999999999999</v>
      </c>
      <c r="L14" s="88">
        <f>(D14+D17)/2*(C17-C14)</f>
        <v>5.2000000000000006E-3</v>
      </c>
      <c r="M14" s="91">
        <f>K14*L14</f>
        <v>5.9540000000000005E-4</v>
      </c>
      <c r="N14" s="29"/>
      <c r="P14" s="41" cm="1">
        <f t="array" ref="P14:P24">_xlfn._xlws.FILTER(C14:C46, C14:C46&lt;&gt;"")</f>
        <v>0</v>
      </c>
      <c r="Q14" s="40" cm="1">
        <f t="array" ref="Q14:Q24">_xlfn._xlws.FILTER(D14:D46, D14:D46&lt;&gt;"")</f>
        <v>0</v>
      </c>
      <c r="R14" s="42" cm="1">
        <f t="array" ref="R14:R24">_xlfn._xlws.FILTER(J14:J46, J14:J46&lt;&gt;"")</f>
        <v>3.2000000000000001E-2</v>
      </c>
    </row>
    <row r="15" spans="2:18" x14ac:dyDescent="0.25">
      <c r="B15" s="4"/>
      <c r="C15" s="83"/>
      <c r="D15" s="86"/>
      <c r="E15" s="38" t="str">
        <f>IF(ISNUMBER(D14),IF($M$11=1,"",IF($M$11=2,D14*0.2,IF($M$11=3,D14*0.4))),"")</f>
        <v/>
      </c>
      <c r="F15" s="38"/>
      <c r="G15" s="38"/>
      <c r="H15" s="28" t="str">
        <f t="shared" ref="H15:H46" si="0">IF(AND(ISNUMBER(F15),ISNUMBER(G15)),IFERROR(F15/G15,0),"")</f>
        <v/>
      </c>
      <c r="I15" s="28" t="str">
        <f t="shared" ref="I15:I46" si="1">IF(ISNUMBER(H15),IF($G$11="X",0.262*H15-0.001,IF($I$11="X",0.251*H15+0.032,"")),"")</f>
        <v/>
      </c>
      <c r="J15" s="89"/>
      <c r="K15" s="89"/>
      <c r="L15" s="89"/>
      <c r="M15" s="92"/>
      <c r="N15" s="29"/>
      <c r="P15" s="43">
        <v>6.5000000000000002E-2</v>
      </c>
      <c r="Q15" s="30">
        <v>0.16</v>
      </c>
      <c r="R15" s="44">
        <v>0.19699999999999998</v>
      </c>
    </row>
    <row r="16" spans="2:18" x14ac:dyDescent="0.25">
      <c r="B16" s="4"/>
      <c r="C16" s="84"/>
      <c r="D16" s="87"/>
      <c r="E16" s="38" t="str">
        <f>IF(ISNUMBER(D14),IF($M$11=1,"",IF($M$11=2,"",IF($M$11=3,D14*0.2))),"")</f>
        <v/>
      </c>
      <c r="F16" s="38"/>
      <c r="G16" s="38"/>
      <c r="H16" s="28" t="str">
        <f t="shared" si="0"/>
        <v/>
      </c>
      <c r="I16" s="28" t="str">
        <f t="shared" si="1"/>
        <v/>
      </c>
      <c r="J16" s="90"/>
      <c r="K16" s="90"/>
      <c r="L16" s="90"/>
      <c r="M16" s="93"/>
      <c r="N16" s="29"/>
      <c r="P16" s="43">
        <v>0.13</v>
      </c>
      <c r="Q16" s="30">
        <v>0.16</v>
      </c>
      <c r="R16" s="44">
        <v>0.29542574257425747</v>
      </c>
    </row>
    <row r="17" spans="2:18" x14ac:dyDescent="0.25">
      <c r="B17" s="4"/>
      <c r="C17" s="82">
        <v>6.5000000000000002E-2</v>
      </c>
      <c r="D17" s="85">
        <v>0.16</v>
      </c>
      <c r="E17" s="38">
        <f>IF(ISNUMBER(D17),IF($M$11=1,D17*0.4,IF($M$11=2,D17*0.8,IF($M$11=3,D17*0.8))),"")</f>
        <v>6.4000000000000001E-2</v>
      </c>
      <c r="F17" s="38">
        <v>33</v>
      </c>
      <c r="G17" s="38">
        <v>50.2</v>
      </c>
      <c r="H17" s="28">
        <f t="shared" si="0"/>
        <v>0.65737051792828682</v>
      </c>
      <c r="I17" s="28">
        <f t="shared" si="1"/>
        <v>0.19699999999999998</v>
      </c>
      <c r="J17" s="88">
        <f t="shared" ref="J17" si="2">IF($M$11=1,IF(ISNUMBER(I17),I17,0),IF($M$11=2,IF(AND(ISNUMBER(I17),ISNUMBER(I18)),(I17+I18)/2,0),IF($M$11=3,IF(AND(ISNUMBER(I17),ISNUMBER(I18),ISNUMBER(I19)),(I17+(I18*2)+I19)/4,0))))</f>
        <v>0.19699999999999998</v>
      </c>
      <c r="K17" s="88">
        <f>AVERAGE(J17:J22)</f>
        <v>0.24621287128712871</v>
      </c>
      <c r="L17" s="88">
        <f>(D17+D20)/2*(C20-C17)</f>
        <v>1.0400000000000001E-2</v>
      </c>
      <c r="M17" s="91">
        <f>K17*L17</f>
        <v>2.5606138613861388E-3</v>
      </c>
      <c r="N17" s="29"/>
      <c r="P17" s="43">
        <v>0.19500000000000001</v>
      </c>
      <c r="Q17" s="30">
        <v>0.16</v>
      </c>
      <c r="R17" s="44">
        <v>0.36331999999999998</v>
      </c>
    </row>
    <row r="18" spans="2:18" x14ac:dyDescent="0.25">
      <c r="B18" s="4"/>
      <c r="C18" s="83"/>
      <c r="D18" s="86"/>
      <c r="E18" s="38" t="str">
        <f>IF(ISNUMBER(D17),IF($M$11=1,"",IF($M$11=2,D17*0.2,IF($M$11=3,D17*0.4))),"")</f>
        <v/>
      </c>
      <c r="F18" s="38"/>
      <c r="G18" s="38"/>
      <c r="H18" s="28" t="str">
        <f t="shared" si="0"/>
        <v/>
      </c>
      <c r="I18" s="28" t="str">
        <f t="shared" si="1"/>
        <v/>
      </c>
      <c r="J18" s="89"/>
      <c r="K18" s="89"/>
      <c r="L18" s="89"/>
      <c r="M18" s="92"/>
      <c r="N18" s="29"/>
      <c r="P18" s="43">
        <v>0.26</v>
      </c>
      <c r="Q18" s="30">
        <v>0.17</v>
      </c>
      <c r="R18" s="44">
        <v>0.41200000000000003</v>
      </c>
    </row>
    <row r="19" spans="2:18" x14ac:dyDescent="0.25">
      <c r="B19" s="4"/>
      <c r="C19" s="84"/>
      <c r="D19" s="87"/>
      <c r="E19" s="38" t="str">
        <f>IF(ISNUMBER(D17),IF($M$11=1,"",IF($M$11=2,"",IF($M$11=3,D17*0.2))),"")</f>
        <v/>
      </c>
      <c r="F19" s="38"/>
      <c r="G19" s="38"/>
      <c r="H19" s="28" t="str">
        <f t="shared" si="0"/>
        <v/>
      </c>
      <c r="I19" s="28" t="str">
        <f t="shared" si="1"/>
        <v/>
      </c>
      <c r="J19" s="90"/>
      <c r="K19" s="90"/>
      <c r="L19" s="90"/>
      <c r="M19" s="93"/>
      <c r="N19" s="29"/>
      <c r="P19" s="43">
        <v>0.32500000000000001</v>
      </c>
      <c r="Q19" s="30">
        <v>0.17</v>
      </c>
      <c r="R19" s="44">
        <v>0.48090384615384618</v>
      </c>
    </row>
    <row r="20" spans="2:18" x14ac:dyDescent="0.25">
      <c r="B20" s="4"/>
      <c r="C20" s="82">
        <v>0.13</v>
      </c>
      <c r="D20" s="85">
        <v>0.16</v>
      </c>
      <c r="E20" s="38">
        <f>IF(ISNUMBER(D20),IF($M$11=1,D20*0.4,IF($M$11=2,D20*0.8,IF($M$11=3,D20*0.8))),"")</f>
        <v>6.4000000000000001E-2</v>
      </c>
      <c r="F20" s="38">
        <v>53</v>
      </c>
      <c r="G20" s="38">
        <v>50.5</v>
      </c>
      <c r="H20" s="28">
        <f t="shared" si="0"/>
        <v>1.0495049504950495</v>
      </c>
      <c r="I20" s="28">
        <f t="shared" si="1"/>
        <v>0.29542574257425747</v>
      </c>
      <c r="J20" s="88">
        <f t="shared" ref="J20" si="3">IF($M$11=1,IF(ISNUMBER(I20),I20,0),IF($M$11=2,IF(AND(ISNUMBER(I20),ISNUMBER(I21)),(I20+I21)/2,0),IF($M$11=3,IF(AND(ISNUMBER(I20),ISNUMBER(I21),ISNUMBER(I22)),(I20+(I21*2)+I22)/4,0))))</f>
        <v>0.29542574257425747</v>
      </c>
      <c r="K20" s="88">
        <f t="shared" ref="K20" si="4">AVERAGE(J20:J25)</f>
        <v>0.32937287128712872</v>
      </c>
      <c r="L20" s="88">
        <f>(D20+D23)/2*(C23-C20)</f>
        <v>1.0400000000000001E-2</v>
      </c>
      <c r="M20" s="91">
        <f>K20*L20</f>
        <v>3.4254778613861392E-3</v>
      </c>
      <c r="N20" s="29"/>
      <c r="P20" s="43">
        <v>0.39</v>
      </c>
      <c r="Q20" s="30">
        <v>0.17</v>
      </c>
      <c r="R20" s="44">
        <v>0.47287824351297403</v>
      </c>
    </row>
    <row r="21" spans="2:18" x14ac:dyDescent="0.25">
      <c r="B21" s="4"/>
      <c r="C21" s="83"/>
      <c r="D21" s="86"/>
      <c r="E21" s="38" t="str">
        <f>IF(ISNUMBER(D20),IF($M$11=1,"",IF($M$11=2,D20*0.2,IF($M$11=3,D20*0.4))),"")</f>
        <v/>
      </c>
      <c r="F21" s="38"/>
      <c r="G21" s="38"/>
      <c r="H21" s="28" t="str">
        <f t="shared" si="0"/>
        <v/>
      </c>
      <c r="I21" s="28" t="str">
        <f t="shared" si="1"/>
        <v/>
      </c>
      <c r="J21" s="89"/>
      <c r="K21" s="89"/>
      <c r="L21" s="89"/>
      <c r="M21" s="92"/>
      <c r="N21" s="29"/>
      <c r="P21" s="43">
        <v>0.45500000000000002</v>
      </c>
      <c r="Q21" s="30">
        <v>0.17</v>
      </c>
      <c r="R21" s="44">
        <v>0.40053174603174602</v>
      </c>
    </row>
    <row r="22" spans="2:18" x14ac:dyDescent="0.25">
      <c r="B22" s="4"/>
      <c r="C22" s="84"/>
      <c r="D22" s="87"/>
      <c r="E22" s="38" t="str">
        <f>IF(ISNUMBER(D20),IF($M$11=1,"",IF($M$11=2,"",IF($M$11=3,D20*0.2))),"")</f>
        <v/>
      </c>
      <c r="F22" s="38"/>
      <c r="G22" s="38"/>
      <c r="H22" s="28" t="str">
        <f t="shared" si="0"/>
        <v/>
      </c>
      <c r="I22" s="28" t="str">
        <f t="shared" si="1"/>
        <v/>
      </c>
      <c r="J22" s="90"/>
      <c r="K22" s="90"/>
      <c r="L22" s="90"/>
      <c r="M22" s="93"/>
      <c r="N22" s="29"/>
      <c r="P22" s="43">
        <v>0.52</v>
      </c>
      <c r="Q22" s="30">
        <v>0.16</v>
      </c>
      <c r="R22" s="44">
        <v>0.27798</v>
      </c>
    </row>
    <row r="23" spans="2:18" x14ac:dyDescent="0.25">
      <c r="B23" s="4"/>
      <c r="C23" s="82">
        <v>0.19500000000000001</v>
      </c>
      <c r="D23" s="85">
        <v>0.16</v>
      </c>
      <c r="E23" s="38">
        <f>IF(ISNUMBER(D23),IF($M$11=1,D23*0.4,IF($M$11=2,D23*0.8,IF($M$11=3,D23*0.8))),"")</f>
        <v>6.4000000000000001E-2</v>
      </c>
      <c r="F23" s="38">
        <v>66</v>
      </c>
      <c r="G23" s="38">
        <v>50</v>
      </c>
      <c r="H23" s="28">
        <f t="shared" si="0"/>
        <v>1.32</v>
      </c>
      <c r="I23" s="28">
        <f t="shared" si="1"/>
        <v>0.36331999999999998</v>
      </c>
      <c r="J23" s="88">
        <f t="shared" ref="J23" si="5">IF($M$11=1,IF(ISNUMBER(I23),I23,0),IF($M$11=2,IF(AND(ISNUMBER(I23),ISNUMBER(I24)),(I23+I24)/2,0),IF($M$11=3,IF(AND(ISNUMBER(I23),ISNUMBER(I24),ISNUMBER(I25)),(I23+(I24*2)+I25)/4,0))))</f>
        <v>0.36331999999999998</v>
      </c>
      <c r="K23" s="88">
        <f t="shared" ref="K23" si="6">AVERAGE(J23:J28)</f>
        <v>0.38766</v>
      </c>
      <c r="L23" s="88">
        <f>(D23+D26)/2*(C26-C23)</f>
        <v>1.0725E-2</v>
      </c>
      <c r="M23" s="91">
        <f>K23*L23</f>
        <v>4.1576535000000005E-3</v>
      </c>
      <c r="N23" s="29"/>
      <c r="P23" s="43">
        <v>0.58499999999999996</v>
      </c>
      <c r="Q23" s="30">
        <v>0.16</v>
      </c>
      <c r="R23" s="44">
        <v>0.25973175542406313</v>
      </c>
    </row>
    <row r="24" spans="2:18" ht="15.75" thickBot="1" x14ac:dyDescent="0.3">
      <c r="B24" s="4"/>
      <c r="C24" s="83"/>
      <c r="D24" s="86"/>
      <c r="E24" s="38" t="str">
        <f>IF(ISNUMBER(D23),IF($M$11=1,"",IF($M$11=2,D23*0.2,IF($M$11=3,D23*0.4))),"")</f>
        <v/>
      </c>
      <c r="F24" s="38"/>
      <c r="G24" s="38"/>
      <c r="H24" s="28" t="str">
        <f t="shared" si="0"/>
        <v/>
      </c>
      <c r="I24" s="28" t="str">
        <f t="shared" si="1"/>
        <v/>
      </c>
      <c r="J24" s="89"/>
      <c r="K24" s="89"/>
      <c r="L24" s="89"/>
      <c r="M24" s="92"/>
      <c r="N24" s="29"/>
      <c r="P24" s="45">
        <v>0.65</v>
      </c>
      <c r="Q24" s="46">
        <v>0</v>
      </c>
      <c r="R24" s="47">
        <v>3.2000000000000001E-2</v>
      </c>
    </row>
    <row r="25" spans="2:18" ht="15.75" thickBot="1" x14ac:dyDescent="0.3">
      <c r="B25" s="4"/>
      <c r="C25" s="84"/>
      <c r="D25" s="87"/>
      <c r="E25" s="38" t="str">
        <f>IF(ISNUMBER(D23),IF($M$11=1,"",IF($M$11=2,"",IF($M$11=3,D23*0.2))),"")</f>
        <v/>
      </c>
      <c r="F25" s="38"/>
      <c r="G25" s="38"/>
      <c r="H25" s="28" t="str">
        <f t="shared" si="0"/>
        <v/>
      </c>
      <c r="I25" s="28" t="str">
        <f t="shared" si="1"/>
        <v/>
      </c>
      <c r="J25" s="90"/>
      <c r="K25" s="90"/>
      <c r="L25" s="90"/>
      <c r="M25" s="93"/>
      <c r="N25" s="29"/>
    </row>
    <row r="26" spans="2:18" ht="15.75" thickBot="1" x14ac:dyDescent="0.3">
      <c r="B26" s="4"/>
      <c r="C26" s="82">
        <v>0.26</v>
      </c>
      <c r="D26" s="85">
        <v>0.17</v>
      </c>
      <c r="E26" s="38">
        <f>IF(ISNUMBER(D26),IF($M$11=1,D26*0.4,IF($M$11=2,D26*0.8,IF($M$11=3,D26*0.8))),"")</f>
        <v>6.8000000000000005E-2</v>
      </c>
      <c r="F26" s="38">
        <v>76</v>
      </c>
      <c r="G26" s="38">
        <v>50.2</v>
      </c>
      <c r="H26" s="28">
        <f t="shared" si="0"/>
        <v>1.5139442231075697</v>
      </c>
      <c r="I26" s="28">
        <f t="shared" si="1"/>
        <v>0.41200000000000003</v>
      </c>
      <c r="J26" s="88">
        <f t="shared" ref="J26" si="7">IF($M$11=1,IF(ISNUMBER(I26),I26,0),IF($M$11=2,IF(AND(ISNUMBER(I26),ISNUMBER(I27)),(I26+I27)/2,0),IF($M$11=3,IF(AND(ISNUMBER(I26),ISNUMBER(I27),ISNUMBER(I28)),(I26+(I27*2)+I28)/4,0))))</f>
        <v>0.41200000000000003</v>
      </c>
      <c r="K26" s="88">
        <f t="shared" ref="K26" si="8">AVERAGE(J26:J31)</f>
        <v>0.44645192307692311</v>
      </c>
      <c r="L26" s="88">
        <f>(D26+D29)/2*(C29-C26)</f>
        <v>1.1050000000000001E-2</v>
      </c>
      <c r="M26" s="91">
        <f>K26*L26</f>
        <v>4.9332937500000005E-3</v>
      </c>
      <c r="N26" s="29"/>
      <c r="P26" s="48"/>
      <c r="Q26" s="102" t="s">
        <v>41</v>
      </c>
      <c r="R26" s="102"/>
    </row>
    <row r="27" spans="2:18" ht="15.75" thickBot="1" x14ac:dyDescent="0.3">
      <c r="B27" s="4"/>
      <c r="C27" s="83"/>
      <c r="D27" s="86"/>
      <c r="E27" s="38" t="str">
        <f>IF(ISNUMBER(D26),IF($M$11=1,"",IF($M$11=2,D26*0.2,IF($M$11=3,D26*0.4))),"")</f>
        <v/>
      </c>
      <c r="F27" s="38"/>
      <c r="G27" s="38"/>
      <c r="H27" s="28" t="str">
        <f t="shared" si="0"/>
        <v/>
      </c>
      <c r="I27" s="28" t="str">
        <f t="shared" si="1"/>
        <v/>
      </c>
      <c r="J27" s="89"/>
      <c r="K27" s="89"/>
      <c r="L27" s="89"/>
      <c r="M27" s="92"/>
      <c r="N27" s="29"/>
    </row>
    <row r="28" spans="2:18" ht="15.75" thickBot="1" x14ac:dyDescent="0.3">
      <c r="B28" s="4"/>
      <c r="C28" s="84"/>
      <c r="D28" s="87"/>
      <c r="E28" s="38" t="str">
        <f>IF(ISNUMBER(D26),IF($M$11=1,"",IF($M$11=2,"",IF($M$11=3,D26*0.2))),"")</f>
        <v/>
      </c>
      <c r="F28" s="38"/>
      <c r="G28" s="38"/>
      <c r="H28" s="28" t="str">
        <f t="shared" si="0"/>
        <v/>
      </c>
      <c r="I28" s="28" t="str">
        <f t="shared" si="1"/>
        <v/>
      </c>
      <c r="J28" s="90"/>
      <c r="K28" s="90"/>
      <c r="L28" s="90"/>
      <c r="M28" s="93"/>
      <c r="N28" s="29"/>
      <c r="P28" s="49"/>
      <c r="Q28" s="102" t="s">
        <v>42</v>
      </c>
      <c r="R28" s="102"/>
    </row>
    <row r="29" spans="2:18" x14ac:dyDescent="0.25">
      <c r="B29" s="4"/>
      <c r="C29" s="82">
        <v>0.32500000000000001</v>
      </c>
      <c r="D29" s="85">
        <v>0.17</v>
      </c>
      <c r="E29" s="38">
        <f>IF(ISNUMBER(D29),IF($M$11=1,D29*0.4,IF($M$11=2,D29*0.8,IF($M$11=3,D29*0.8))),"")</f>
        <v>6.8000000000000005E-2</v>
      </c>
      <c r="F29" s="38">
        <v>93</v>
      </c>
      <c r="G29" s="38">
        <v>52</v>
      </c>
      <c r="H29" s="28">
        <f t="shared" si="0"/>
        <v>1.7884615384615385</v>
      </c>
      <c r="I29" s="28">
        <f t="shared" si="1"/>
        <v>0.48090384615384618</v>
      </c>
      <c r="J29" s="88">
        <f t="shared" ref="J29" si="9">IF($M$11=1,IF(ISNUMBER(I29),I29,0),IF($M$11=2,IF(AND(ISNUMBER(I29),ISNUMBER(I30)),(I29+I30)/2,0),IF($M$11=3,IF(AND(ISNUMBER(I29),ISNUMBER(I30),ISNUMBER(I31)),(I29+(I30*2)+I31)/4,0))))</f>
        <v>0.48090384615384618</v>
      </c>
      <c r="K29" s="88">
        <f t="shared" ref="K29" si="10">AVERAGE(J29:J34)</f>
        <v>0.4768910448334101</v>
      </c>
      <c r="L29" s="88">
        <f>(D29+D32)/2*(C32-C29)</f>
        <v>1.1050000000000001E-2</v>
      </c>
      <c r="M29" s="91">
        <f>K29*L29</f>
        <v>5.2696460454091818E-3</v>
      </c>
      <c r="N29" s="29"/>
    </row>
    <row r="30" spans="2:18" x14ac:dyDescent="0.25">
      <c r="B30" s="4"/>
      <c r="C30" s="83"/>
      <c r="D30" s="86"/>
      <c r="E30" s="38" t="str">
        <f>IF(ISNUMBER(D29),IF($M$11=1,"",IF($M$11=2,D29*0.2,IF($M$11=3,D29*0.4))),"")</f>
        <v/>
      </c>
      <c r="F30" s="38"/>
      <c r="G30" s="38"/>
      <c r="H30" s="28" t="str">
        <f t="shared" si="0"/>
        <v/>
      </c>
      <c r="I30" s="28" t="str">
        <f t="shared" si="1"/>
        <v/>
      </c>
      <c r="J30" s="89"/>
      <c r="K30" s="89"/>
      <c r="L30" s="89"/>
      <c r="M30" s="92"/>
      <c r="N30" s="29"/>
    </row>
    <row r="31" spans="2:18" x14ac:dyDescent="0.25">
      <c r="B31" s="4"/>
      <c r="C31" s="84"/>
      <c r="D31" s="87"/>
      <c r="E31" s="38" t="str">
        <f>IF(ISNUMBER(D29),IF($M$11=1,"",IF($M$11=2,"",IF($M$11=3,D29*0.2))),"")</f>
        <v/>
      </c>
      <c r="F31" s="38"/>
      <c r="G31" s="38"/>
      <c r="H31" s="28" t="str">
        <f t="shared" si="0"/>
        <v/>
      </c>
      <c r="I31" s="28" t="str">
        <f t="shared" si="1"/>
        <v/>
      </c>
      <c r="J31" s="90"/>
      <c r="K31" s="90"/>
      <c r="L31" s="90"/>
      <c r="M31" s="93"/>
      <c r="N31" s="29"/>
    </row>
    <row r="32" spans="2:18" x14ac:dyDescent="0.25">
      <c r="B32" s="4"/>
      <c r="C32" s="82">
        <v>0.39</v>
      </c>
      <c r="D32" s="85">
        <v>0.17</v>
      </c>
      <c r="E32" s="38">
        <f>IF(ISNUMBER(D32),IF($M$11=1,D32*0.4,IF($M$11=2,D32*0.8,IF($M$11=3,D32*0.8))),"")</f>
        <v>6.8000000000000005E-2</v>
      </c>
      <c r="F32" s="38">
        <v>88</v>
      </c>
      <c r="G32" s="38">
        <v>50.1</v>
      </c>
      <c r="H32" s="28">
        <f t="shared" si="0"/>
        <v>1.7564870259481038</v>
      </c>
      <c r="I32" s="28">
        <f t="shared" si="1"/>
        <v>0.47287824351297403</v>
      </c>
      <c r="J32" s="88">
        <f t="shared" ref="J32" si="11">IF($M$11=1,IF(ISNUMBER(I32),I32,0),IF($M$11=2,IF(AND(ISNUMBER(I32),ISNUMBER(I33)),(I32+I33)/2,0),IF($M$11=3,IF(AND(ISNUMBER(I32),ISNUMBER(I33),ISNUMBER(I34)),(I32+(I33*2)+I34)/4,0))))</f>
        <v>0.47287824351297403</v>
      </c>
      <c r="K32" s="88">
        <f t="shared" ref="K32" si="12">AVERAGE(J32:J37)</f>
        <v>0.43670499477236002</v>
      </c>
      <c r="L32" s="88">
        <f>(D32+D35)/2*(C35-C32)</f>
        <v>1.1050000000000001E-2</v>
      </c>
      <c r="M32" s="91">
        <f>K32*L32</f>
        <v>4.8255901922345783E-3</v>
      </c>
      <c r="N32" s="29"/>
    </row>
    <row r="33" spans="2:14" x14ac:dyDescent="0.25">
      <c r="B33" s="4"/>
      <c r="C33" s="83"/>
      <c r="D33" s="86"/>
      <c r="E33" s="38" t="str">
        <f>IF(ISNUMBER(D32),IF($M$11=1,"",IF($M$11=2,D32*0.2,IF($M$11=3,D32*0.4))),"")</f>
        <v/>
      </c>
      <c r="F33" s="38"/>
      <c r="G33" s="38"/>
      <c r="H33" s="28" t="str">
        <f t="shared" si="0"/>
        <v/>
      </c>
      <c r="I33" s="28" t="str">
        <f t="shared" si="1"/>
        <v/>
      </c>
      <c r="J33" s="89"/>
      <c r="K33" s="89"/>
      <c r="L33" s="89"/>
      <c r="M33" s="92"/>
      <c r="N33" s="29"/>
    </row>
    <row r="34" spans="2:14" x14ac:dyDescent="0.25">
      <c r="B34" s="4"/>
      <c r="C34" s="84"/>
      <c r="D34" s="87"/>
      <c r="E34" s="38" t="str">
        <f>IF(ISNUMBER(D32),IF($M$11=1,"",IF($M$11=2,"",IF($M$11=3,D32*0.2))),"")</f>
        <v/>
      </c>
      <c r="F34" s="38"/>
      <c r="G34" s="38"/>
      <c r="H34" s="28" t="str">
        <f t="shared" si="0"/>
        <v/>
      </c>
      <c r="I34" s="28" t="str">
        <f t="shared" si="1"/>
        <v/>
      </c>
      <c r="J34" s="90"/>
      <c r="K34" s="90"/>
      <c r="L34" s="90"/>
      <c r="M34" s="93"/>
      <c r="N34" s="29"/>
    </row>
    <row r="35" spans="2:14" x14ac:dyDescent="0.25">
      <c r="B35" s="4"/>
      <c r="C35" s="82">
        <v>0.45500000000000002</v>
      </c>
      <c r="D35" s="85">
        <v>0.17</v>
      </c>
      <c r="E35" s="38">
        <f>IF(ISNUMBER(D35),IF($M$11=1,D35*0.4,IF($M$11=2,D35*0.8,IF($M$11=3,D35*0.8))),"")</f>
        <v>6.8000000000000005E-2</v>
      </c>
      <c r="F35" s="38">
        <v>74</v>
      </c>
      <c r="G35" s="38">
        <v>50.4</v>
      </c>
      <c r="H35" s="28">
        <f t="shared" si="0"/>
        <v>1.4682539682539684</v>
      </c>
      <c r="I35" s="28">
        <f t="shared" si="1"/>
        <v>0.40053174603174602</v>
      </c>
      <c r="J35" s="88">
        <f t="shared" ref="J35" si="13">IF($M$11=1,IF(ISNUMBER(I35),I35,0),IF($M$11=2,IF(AND(ISNUMBER(I35),ISNUMBER(I36)),(I35+I36)/2,0),IF($M$11=3,IF(AND(ISNUMBER(I35),ISNUMBER(I36),ISNUMBER(I37)),(I35+(I36*2)+I37)/4,0))))</f>
        <v>0.40053174603174602</v>
      </c>
      <c r="K35" s="88">
        <f t="shared" ref="K35" si="14">AVERAGE(J35:J40)</f>
        <v>0.33925587301587301</v>
      </c>
      <c r="L35" s="88">
        <f>(D35+D38)/2*(C38-C35)</f>
        <v>1.0725E-2</v>
      </c>
      <c r="M35" s="91">
        <f>K35*L35</f>
        <v>3.6385192380952382E-3</v>
      </c>
      <c r="N35" s="29"/>
    </row>
    <row r="36" spans="2:14" x14ac:dyDescent="0.25">
      <c r="B36" s="4"/>
      <c r="C36" s="83"/>
      <c r="D36" s="86"/>
      <c r="E36" s="38" t="str">
        <f>IF(ISNUMBER(D35),IF($M$11=1,"",IF($M$11=2,D35*0.2,IF($M$11=3,D35*0.4))),"")</f>
        <v/>
      </c>
      <c r="F36" s="38"/>
      <c r="G36" s="38"/>
      <c r="H36" s="28" t="str">
        <f t="shared" si="0"/>
        <v/>
      </c>
      <c r="I36" s="28" t="str">
        <f t="shared" si="1"/>
        <v/>
      </c>
      <c r="J36" s="89"/>
      <c r="K36" s="89"/>
      <c r="L36" s="89"/>
      <c r="M36" s="92"/>
      <c r="N36" s="29"/>
    </row>
    <row r="37" spans="2:14" x14ac:dyDescent="0.25">
      <c r="B37" s="4"/>
      <c r="C37" s="84"/>
      <c r="D37" s="87"/>
      <c r="E37" s="38" t="str">
        <f>IF(ISNUMBER(D35),IF($M$11=1,"",IF($M$11=2,"",IF($M$11=3,D35*0.2))),"")</f>
        <v/>
      </c>
      <c r="F37" s="38"/>
      <c r="G37" s="38"/>
      <c r="H37" s="28" t="str">
        <f t="shared" si="0"/>
        <v/>
      </c>
      <c r="I37" s="28" t="str">
        <f t="shared" si="1"/>
        <v/>
      </c>
      <c r="J37" s="90"/>
      <c r="K37" s="90"/>
      <c r="L37" s="90"/>
      <c r="M37" s="93"/>
      <c r="N37" s="29"/>
    </row>
    <row r="38" spans="2:14" x14ac:dyDescent="0.25">
      <c r="B38" s="4"/>
      <c r="C38" s="82">
        <v>0.52</v>
      </c>
      <c r="D38" s="85">
        <v>0.16</v>
      </c>
      <c r="E38" s="38">
        <f>IF(ISNUMBER(D38),IF($M$11=1,D38*0.4,IF($M$11=2,D38*0.8,IF($M$11=3,D38*0.8))),"")</f>
        <v>6.4000000000000001E-2</v>
      </c>
      <c r="F38" s="38">
        <v>49</v>
      </c>
      <c r="G38" s="38">
        <v>50</v>
      </c>
      <c r="H38" s="28">
        <f t="shared" si="0"/>
        <v>0.98</v>
      </c>
      <c r="I38" s="28">
        <f t="shared" si="1"/>
        <v>0.27798</v>
      </c>
      <c r="J38" s="88">
        <f t="shared" ref="J38" si="15">IF($M$11=1,IF(ISNUMBER(I38),I38,0),IF($M$11=2,IF(AND(ISNUMBER(I38),ISNUMBER(I39)),(I38+I39)/2,0),IF($M$11=3,IF(AND(ISNUMBER(I38),ISNUMBER(I39),ISNUMBER(I40)),(I38+(I39*2)+I40)/4,0))))</f>
        <v>0.27798</v>
      </c>
      <c r="K38" s="88">
        <f t="shared" ref="K38" si="16">AVERAGE(J38:J43)</f>
        <v>0.26885587771203157</v>
      </c>
      <c r="L38" s="88">
        <f>(D38+D41)/2*(C41-C38)</f>
        <v>1.0399999999999991E-2</v>
      </c>
      <c r="M38" s="91">
        <f>K38*L38</f>
        <v>2.7961011282051258E-3</v>
      </c>
      <c r="N38" s="29"/>
    </row>
    <row r="39" spans="2:14" x14ac:dyDescent="0.25">
      <c r="B39" s="4"/>
      <c r="C39" s="83"/>
      <c r="D39" s="86"/>
      <c r="E39" s="38" t="str">
        <f>IF(ISNUMBER(D38),IF($M$11=1,"",IF($M$11=2,D38*0.2,IF($M$11=3,D38*0.4))),"")</f>
        <v/>
      </c>
      <c r="F39" s="38"/>
      <c r="G39" s="38"/>
      <c r="H39" s="28" t="str">
        <f t="shared" si="0"/>
        <v/>
      </c>
      <c r="I39" s="28" t="str">
        <f t="shared" si="1"/>
        <v/>
      </c>
      <c r="J39" s="89"/>
      <c r="K39" s="89"/>
      <c r="L39" s="89"/>
      <c r="M39" s="92"/>
      <c r="N39" s="29"/>
    </row>
    <row r="40" spans="2:14" x14ac:dyDescent="0.25">
      <c r="B40" s="4"/>
      <c r="C40" s="84"/>
      <c r="D40" s="87"/>
      <c r="E40" s="38" t="str">
        <f>IF(ISNUMBER(D38),IF($M$11=1,"",IF($M$11=2,"",IF($M$11=3,D38*0.2))),"")</f>
        <v/>
      </c>
      <c r="F40" s="38"/>
      <c r="G40" s="38"/>
      <c r="H40" s="28" t="str">
        <f t="shared" si="0"/>
        <v/>
      </c>
      <c r="I40" s="28" t="str">
        <f t="shared" si="1"/>
        <v/>
      </c>
      <c r="J40" s="90"/>
      <c r="K40" s="90"/>
      <c r="L40" s="90"/>
      <c r="M40" s="93"/>
      <c r="N40" s="29"/>
    </row>
    <row r="41" spans="2:14" x14ac:dyDescent="0.25">
      <c r="B41" s="4"/>
      <c r="C41" s="82">
        <v>0.58499999999999996</v>
      </c>
      <c r="D41" s="85">
        <v>0.16</v>
      </c>
      <c r="E41" s="38">
        <f>IF(ISNUMBER(D41),IF($M$11=1,D41*0.4,IF($M$11=2,D41*0.8,IF($M$11=3,D41*0.8))),"")</f>
        <v>6.4000000000000001E-2</v>
      </c>
      <c r="F41" s="38">
        <v>46</v>
      </c>
      <c r="G41" s="38">
        <v>50.7</v>
      </c>
      <c r="H41" s="28">
        <f t="shared" si="0"/>
        <v>0.90729783037475342</v>
      </c>
      <c r="I41" s="28">
        <f t="shared" si="1"/>
        <v>0.25973175542406313</v>
      </c>
      <c r="J41" s="88">
        <f t="shared" ref="J41" si="17">IF($M$11=1,IF(ISNUMBER(I41),I41,0),IF($M$11=2,IF(AND(ISNUMBER(I41),ISNUMBER(I42)),(I41+I42)/2,0),IF($M$11=3,IF(AND(ISNUMBER(I41),ISNUMBER(I42),ISNUMBER(I43)),(I41+(I42*2)+I43)/4,0))))</f>
        <v>0.25973175542406313</v>
      </c>
      <c r="K41" s="88">
        <f t="shared" ref="K41" si="18">AVERAGE(J41:J46)</f>
        <v>0.14586587771203158</v>
      </c>
      <c r="L41" s="88">
        <f>(D41+D44)/2*(C44-C41)</f>
        <v>5.200000000000005E-3</v>
      </c>
      <c r="M41" s="91">
        <f>K41*L41</f>
        <v>7.5850256410256488E-4</v>
      </c>
      <c r="N41" s="29"/>
    </row>
    <row r="42" spans="2:14" x14ac:dyDescent="0.25">
      <c r="B42" s="4"/>
      <c r="C42" s="83"/>
      <c r="D42" s="86"/>
      <c r="E42" s="38" t="str">
        <f>IF(ISNUMBER(D41),IF($M$11=1,"",IF($M$11=2,D41*0.2,IF($M$11=3,D41*0.4))),"")</f>
        <v/>
      </c>
      <c r="F42" s="38"/>
      <c r="G42" s="38"/>
      <c r="H42" s="28" t="str">
        <f t="shared" si="0"/>
        <v/>
      </c>
      <c r="I42" s="28" t="str">
        <f t="shared" si="1"/>
        <v/>
      </c>
      <c r="J42" s="89"/>
      <c r="K42" s="89"/>
      <c r="L42" s="89"/>
      <c r="M42" s="92"/>
      <c r="N42" s="29"/>
    </row>
    <row r="43" spans="2:14" x14ac:dyDescent="0.25">
      <c r="B43" s="4"/>
      <c r="C43" s="84"/>
      <c r="D43" s="87"/>
      <c r="E43" s="38" t="str">
        <f>IF(ISNUMBER(D41),IF($M$11=1,"",IF($M$11=2,"",IF($M$11=3,D41*0.2))),"")</f>
        <v/>
      </c>
      <c r="F43" s="38"/>
      <c r="G43" s="38"/>
      <c r="H43" s="28" t="str">
        <f t="shared" si="0"/>
        <v/>
      </c>
      <c r="I43" s="28" t="str">
        <f t="shared" si="1"/>
        <v/>
      </c>
      <c r="J43" s="90"/>
      <c r="K43" s="90"/>
      <c r="L43" s="90"/>
      <c r="M43" s="93"/>
      <c r="N43" s="29"/>
    </row>
    <row r="44" spans="2:14" x14ac:dyDescent="0.25">
      <c r="B44" s="4"/>
      <c r="C44" s="82">
        <v>0.65</v>
      </c>
      <c r="D44" s="85">
        <v>0</v>
      </c>
      <c r="E44" s="38">
        <f>IF(ISNUMBER(D44),IF($M$11=1,D44*0.4,IF($M$11=2,D44*0.8,IF($M$11=3,D44*0.8))),"")</f>
        <v>0</v>
      </c>
      <c r="F44" s="38">
        <v>0</v>
      </c>
      <c r="G44" s="38">
        <v>0</v>
      </c>
      <c r="H44" s="28">
        <f t="shared" si="0"/>
        <v>0</v>
      </c>
      <c r="I44" s="28">
        <f t="shared" si="1"/>
        <v>3.2000000000000001E-2</v>
      </c>
      <c r="J44" s="88">
        <f t="shared" ref="J44" si="19">IF($M$11=1,IF(ISNUMBER(I44),I44,0),IF($M$11=2,IF(AND(ISNUMBER(I44),ISNUMBER(I45)),(I44+I45)/2,0),IF($M$11=3,IF(AND(ISNUMBER(I44),ISNUMBER(I45),ISNUMBER(I46)),(I44+(I45*2)+I46)/4,0))))</f>
        <v>3.2000000000000001E-2</v>
      </c>
      <c r="K44" s="88" t="s">
        <v>39</v>
      </c>
      <c r="L44" s="88" t="s">
        <v>39</v>
      </c>
      <c r="M44" s="91" t="s">
        <v>39</v>
      </c>
      <c r="N44" s="29"/>
    </row>
    <row r="45" spans="2:14" x14ac:dyDescent="0.25">
      <c r="B45" s="4"/>
      <c r="C45" s="83"/>
      <c r="D45" s="86"/>
      <c r="E45" s="38" t="str">
        <f>IF(ISNUMBER(D44),IF($M$11=1,"",IF($M$11=2,D44*0.2,IF($M$11=3,D44*0.4))),"")</f>
        <v/>
      </c>
      <c r="F45" s="38"/>
      <c r="G45" s="38"/>
      <c r="H45" s="28" t="str">
        <f t="shared" si="0"/>
        <v/>
      </c>
      <c r="I45" s="28" t="str">
        <f t="shared" si="1"/>
        <v/>
      </c>
      <c r="J45" s="89"/>
      <c r="K45" s="89"/>
      <c r="L45" s="89"/>
      <c r="M45" s="92"/>
      <c r="N45" s="29"/>
    </row>
    <row r="46" spans="2:14" ht="15.75" thickBot="1" x14ac:dyDescent="0.3">
      <c r="B46" s="4"/>
      <c r="C46" s="103"/>
      <c r="D46" s="104"/>
      <c r="E46" s="38" t="str">
        <f>IF(ISNUMBER(D44),IF($M$11=1,"",IF($M$11=2,"",IF($M$11=3,D44*0.2))),"")</f>
        <v/>
      </c>
      <c r="F46" s="39"/>
      <c r="G46" s="39"/>
      <c r="H46" s="28" t="str">
        <f t="shared" si="0"/>
        <v/>
      </c>
      <c r="I46" s="28" t="str">
        <f t="shared" si="1"/>
        <v/>
      </c>
      <c r="J46" s="90"/>
      <c r="K46" s="105"/>
      <c r="L46" s="105"/>
      <c r="M46" s="106"/>
      <c r="N46" s="29"/>
    </row>
    <row r="47" spans="2:14" ht="15" customHeight="1" x14ac:dyDescent="0.25">
      <c r="B47" s="4"/>
      <c r="C47" s="94" t="s">
        <v>40</v>
      </c>
      <c r="D47" s="95"/>
      <c r="E47" s="95"/>
      <c r="F47" s="95"/>
      <c r="G47" s="95"/>
      <c r="H47" s="95"/>
      <c r="I47" s="95"/>
      <c r="J47" s="95"/>
      <c r="K47" s="95"/>
      <c r="L47" s="96"/>
      <c r="M47" s="100">
        <f>SUM(M14:M46)</f>
        <v>3.2960798140818967E-2</v>
      </c>
      <c r="N47" s="29"/>
    </row>
    <row r="48" spans="2:14" ht="15" customHeight="1" thickBot="1" x14ac:dyDescent="0.3">
      <c r="B48" s="4"/>
      <c r="C48" s="97"/>
      <c r="D48" s="98"/>
      <c r="E48" s="98"/>
      <c r="F48" s="98"/>
      <c r="G48" s="98"/>
      <c r="H48" s="98"/>
      <c r="I48" s="98"/>
      <c r="J48" s="98"/>
      <c r="K48" s="98"/>
      <c r="L48" s="99"/>
      <c r="M48" s="101"/>
      <c r="N48" s="29"/>
    </row>
    <row r="49" spans="2:14" ht="9.75" customHeight="1" thickBot="1" x14ac:dyDescent="0.3"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29"/>
    </row>
    <row r="50" spans="2:14" x14ac:dyDescent="0.25">
      <c r="B50" s="31"/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"/>
      <c r="N50" s="29"/>
    </row>
    <row r="51" spans="2:14" x14ac:dyDescent="0.25">
      <c r="B51" s="31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29"/>
      <c r="N51" s="29"/>
    </row>
    <row r="52" spans="2:14" x14ac:dyDescent="0.25">
      <c r="B52" s="31"/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29"/>
      <c r="N52" s="29"/>
    </row>
    <row r="53" spans="2:14" x14ac:dyDescent="0.25">
      <c r="B53" s="31"/>
      <c r="C53" s="31"/>
      <c r="D53" s="32"/>
      <c r="E53" s="32"/>
      <c r="F53" s="32"/>
      <c r="G53" s="32"/>
      <c r="H53" s="32"/>
      <c r="I53" s="32"/>
      <c r="J53" s="32"/>
      <c r="K53" s="32"/>
      <c r="L53" s="32"/>
      <c r="M53" s="29"/>
      <c r="N53" s="29"/>
    </row>
    <row r="54" spans="2:14" x14ac:dyDescent="0.25">
      <c r="B54" s="31"/>
      <c r="C54" s="31"/>
      <c r="D54" s="32"/>
      <c r="E54" s="32"/>
      <c r="F54" s="32"/>
      <c r="G54" s="32"/>
      <c r="H54" s="32"/>
      <c r="I54" s="32"/>
      <c r="J54" s="32"/>
      <c r="K54" s="32"/>
      <c r="L54" s="32"/>
      <c r="M54" s="29"/>
      <c r="N54" s="29"/>
    </row>
    <row r="55" spans="2:14" x14ac:dyDescent="0.25">
      <c r="B55" s="31"/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29"/>
      <c r="N55" s="29"/>
    </row>
    <row r="56" spans="2:14" x14ac:dyDescent="0.25">
      <c r="B56" s="31"/>
      <c r="C56" s="31"/>
      <c r="D56" s="32"/>
      <c r="E56" s="32"/>
      <c r="F56" s="32"/>
      <c r="G56" s="32"/>
      <c r="H56" s="32"/>
      <c r="I56" s="32"/>
      <c r="J56" s="32"/>
      <c r="K56" s="32"/>
      <c r="L56" s="32"/>
      <c r="M56" s="29"/>
      <c r="N56" s="29"/>
    </row>
    <row r="57" spans="2:14" x14ac:dyDescent="0.25">
      <c r="B57" s="31"/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29"/>
      <c r="N57" s="29"/>
    </row>
    <row r="58" spans="2:14" x14ac:dyDescent="0.25">
      <c r="B58" s="31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29"/>
      <c r="N58" s="29"/>
    </row>
    <row r="59" spans="2:14" x14ac:dyDescent="0.25">
      <c r="B59" s="31"/>
      <c r="C59" s="31"/>
      <c r="D59" s="32"/>
      <c r="E59" s="32"/>
      <c r="F59" s="32"/>
      <c r="G59" s="32"/>
      <c r="H59" s="32"/>
      <c r="I59" s="32"/>
      <c r="J59" s="32"/>
      <c r="K59" s="32"/>
      <c r="L59" s="32"/>
      <c r="M59" s="29"/>
      <c r="N59" s="29"/>
    </row>
    <row r="60" spans="2:14" x14ac:dyDescent="0.25">
      <c r="B60" s="31"/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29"/>
      <c r="N60" s="29"/>
    </row>
    <row r="61" spans="2:14" x14ac:dyDescent="0.25">
      <c r="B61" s="31"/>
      <c r="C61" s="31"/>
      <c r="D61" s="32"/>
      <c r="E61" s="32"/>
      <c r="F61" s="32"/>
      <c r="G61" s="32"/>
      <c r="H61" s="32"/>
      <c r="I61" s="32"/>
      <c r="J61" s="32"/>
      <c r="K61" s="32"/>
      <c r="L61" s="32"/>
      <c r="M61" s="29"/>
      <c r="N61" s="29"/>
    </row>
    <row r="62" spans="2:14" x14ac:dyDescent="0.25">
      <c r="B62" s="31"/>
      <c r="C62" s="31"/>
      <c r="D62" s="32"/>
      <c r="E62" s="32"/>
      <c r="F62" s="32"/>
      <c r="G62" s="32"/>
      <c r="H62" s="32"/>
      <c r="I62" s="32"/>
      <c r="J62" s="32"/>
      <c r="K62" s="32"/>
      <c r="L62" s="32"/>
      <c r="M62" s="29"/>
      <c r="N62" s="29"/>
    </row>
    <row r="63" spans="2:14" x14ac:dyDescent="0.25">
      <c r="B63" s="31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29"/>
      <c r="N63" s="29"/>
    </row>
    <row r="64" spans="2:14" x14ac:dyDescent="0.25">
      <c r="B64" s="31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29"/>
      <c r="N64" s="29"/>
    </row>
    <row r="65" spans="2:14" x14ac:dyDescent="0.25">
      <c r="B65" s="31"/>
      <c r="C65" s="31"/>
      <c r="D65" s="32"/>
      <c r="E65" s="32"/>
      <c r="F65" s="32"/>
      <c r="G65" s="32"/>
      <c r="H65" s="32"/>
      <c r="I65" s="32"/>
      <c r="J65" s="32"/>
      <c r="K65" s="32"/>
      <c r="L65" s="32"/>
      <c r="M65" s="29"/>
      <c r="N65" s="29"/>
    </row>
    <row r="66" spans="2:14" x14ac:dyDescent="0.25">
      <c r="B66" s="31"/>
      <c r="C66" s="31"/>
      <c r="D66" s="32"/>
      <c r="E66" s="32"/>
      <c r="F66" s="32"/>
      <c r="G66" s="32"/>
      <c r="H66" s="32"/>
      <c r="I66" s="32"/>
      <c r="J66" s="32"/>
      <c r="K66" s="32"/>
      <c r="L66" s="32"/>
      <c r="M66" s="29"/>
      <c r="N66" s="29"/>
    </row>
    <row r="67" spans="2:14" ht="15.75" thickBot="1" x14ac:dyDescent="0.3">
      <c r="B67" s="31"/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7"/>
      <c r="N67" s="29"/>
    </row>
    <row r="68" spans="2:14" ht="15.75" thickBot="1" x14ac:dyDescent="0.3"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7"/>
    </row>
  </sheetData>
  <mergeCells count="84">
    <mergeCell ref="C47:L48"/>
    <mergeCell ref="M47:M48"/>
    <mergeCell ref="Q26:R26"/>
    <mergeCell ref="Q28:R28"/>
    <mergeCell ref="C44:C46"/>
    <mergeCell ref="D44:D46"/>
    <mergeCell ref="J44:J46"/>
    <mergeCell ref="K44:K46"/>
    <mergeCell ref="L44:L46"/>
    <mergeCell ref="M44:M46"/>
    <mergeCell ref="C41:C43"/>
    <mergeCell ref="D41:D43"/>
    <mergeCell ref="J41:J43"/>
    <mergeCell ref="K41:K43"/>
    <mergeCell ref="L41:L43"/>
    <mergeCell ref="M41:M43"/>
    <mergeCell ref="M38:M40"/>
    <mergeCell ref="C35:C37"/>
    <mergeCell ref="D35:D37"/>
    <mergeCell ref="J35:J37"/>
    <mergeCell ref="K35:K37"/>
    <mergeCell ref="L35:L37"/>
    <mergeCell ref="M35:M37"/>
    <mergeCell ref="C38:C40"/>
    <mergeCell ref="D38:D40"/>
    <mergeCell ref="J38:J40"/>
    <mergeCell ref="K38:K40"/>
    <mergeCell ref="L38:L40"/>
    <mergeCell ref="M32:M34"/>
    <mergeCell ref="C29:C31"/>
    <mergeCell ref="D29:D31"/>
    <mergeCell ref="J29:J31"/>
    <mergeCell ref="K29:K31"/>
    <mergeCell ref="L29:L31"/>
    <mergeCell ref="M29:M31"/>
    <mergeCell ref="C32:C34"/>
    <mergeCell ref="D32:D34"/>
    <mergeCell ref="J32:J34"/>
    <mergeCell ref="K32:K34"/>
    <mergeCell ref="L32:L34"/>
    <mergeCell ref="M26:M28"/>
    <mergeCell ref="C23:C25"/>
    <mergeCell ref="D23:D25"/>
    <mergeCell ref="J23:J25"/>
    <mergeCell ref="K23:K25"/>
    <mergeCell ref="L23:L25"/>
    <mergeCell ref="M23:M25"/>
    <mergeCell ref="C26:C28"/>
    <mergeCell ref="D26:D28"/>
    <mergeCell ref="J26:J28"/>
    <mergeCell ref="K26:K28"/>
    <mergeCell ref="L26:L28"/>
    <mergeCell ref="M20:M22"/>
    <mergeCell ref="C17:C19"/>
    <mergeCell ref="D17:D19"/>
    <mergeCell ref="J17:J19"/>
    <mergeCell ref="K17:K19"/>
    <mergeCell ref="L17:L19"/>
    <mergeCell ref="M17:M19"/>
    <mergeCell ref="C20:C22"/>
    <mergeCell ref="D20:D22"/>
    <mergeCell ref="J20:J22"/>
    <mergeCell ref="K20:K22"/>
    <mergeCell ref="L20:L22"/>
    <mergeCell ref="C12:M12"/>
    <mergeCell ref="P13:R13"/>
    <mergeCell ref="C14:C16"/>
    <mergeCell ref="D14:D16"/>
    <mergeCell ref="J14:J16"/>
    <mergeCell ref="K14:K16"/>
    <mergeCell ref="L14:L16"/>
    <mergeCell ref="M14:M16"/>
    <mergeCell ref="L9:M9"/>
    <mergeCell ref="L8:M8"/>
    <mergeCell ref="C10:M10"/>
    <mergeCell ref="C3:D5"/>
    <mergeCell ref="E3:K5"/>
    <mergeCell ref="L3:M5"/>
    <mergeCell ref="C6:M6"/>
    <mergeCell ref="F7:H7"/>
    <mergeCell ref="J7:K7"/>
    <mergeCell ref="C8:D8"/>
    <mergeCell ref="E8:J8"/>
    <mergeCell ref="D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Aforo Caudal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Giovanni Rubiano Sotelo</dc:creator>
  <cp:lastModifiedBy>Henry Giovanni Rubiano Sotelo</cp:lastModifiedBy>
  <dcterms:created xsi:type="dcterms:W3CDTF">2025-06-13T06:50:40Z</dcterms:created>
  <dcterms:modified xsi:type="dcterms:W3CDTF">2025-06-13T20:26:07Z</dcterms:modified>
</cp:coreProperties>
</file>